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50" windowWidth="18240" windowHeight="847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7" i="1" l="1"/>
  <c r="E4" i="1"/>
  <c r="F4" i="1" s="1"/>
  <c r="E5" i="1"/>
  <c r="F5" i="1" s="1"/>
  <c r="E6" i="1"/>
  <c r="F6" i="1" s="1"/>
  <c r="E3" i="1"/>
  <c r="F3" i="1" s="1"/>
  <c r="F7" i="1" l="1"/>
  <c r="C10" i="1" s="1"/>
  <c r="E7" i="1"/>
</calcChain>
</file>

<file path=xl/sharedStrings.xml><?xml version="1.0" encoding="utf-8"?>
<sst xmlns="http://schemas.openxmlformats.org/spreadsheetml/2006/main" count="31" uniqueCount="27">
  <si>
    <t>Grade Point Average for Fall 2011 Semester</t>
  </si>
  <si>
    <t>CS 466</t>
  </si>
  <si>
    <t>Information Systems</t>
  </si>
  <si>
    <t>A+</t>
  </si>
  <si>
    <t>MIS 320</t>
  </si>
  <si>
    <t>A</t>
  </si>
  <si>
    <t>MIS 340</t>
  </si>
  <si>
    <t>Application and Information Architecture</t>
  </si>
  <si>
    <t>Architectural Solution Design and Construction</t>
  </si>
  <si>
    <t>Data Communications &amp; Networking</t>
  </si>
  <si>
    <t>MIS 497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</si>
  <si>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</si>
  <si>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</si>
  <si>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</si>
  <si>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</si>
  <si>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</si>
  <si>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</si>
  <si>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</si>
  <si>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</si>
  <si>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</si>
  <si>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Course</t>
  </si>
  <si>
    <t>Course Name</t>
  </si>
  <si>
    <t>Cr. Hrs</t>
  </si>
  <si>
    <t>Letter Grade</t>
  </si>
  <si>
    <t>Numerical Grade</t>
  </si>
  <si>
    <t>Quality Points</t>
  </si>
  <si>
    <t>GPA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</si>
</sst>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00"/>
  </numFmts>
  <fonts count="2" x14ac:knownFonts="1">
    <font>
      <sz val="11"/>
      <color theme="1"/>
      <name val="Times New Roman"/>
      <family val="2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2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textRotation="90"/>
    </xf>
    <xf numFmtId="167" fontId="1" fillId="0" borderId="0" xfId="0" applyNumberFormat="1" applyFon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tabSelected="1" workbookViewId="0">
      <selection activeCell="J14" sqref="J14"/>
    </sheetView>
  </sheetViews>
  <sheetFormatPr defaultRowHeight="15" x14ac:dyDescent="0.25"/>
  <cols>
    <col min="2" max="2" width="41.28515625" bestFit="1" customWidth="1"/>
  </cols>
  <sheetData>
    <row r="1" spans="1:9" x14ac:dyDescent="0.25">
      <c r="A1" s="1" t="s">
        <v>0</v>
      </c>
      <c r="H1" t="s">
        <v>3</v>
      </c>
      <c r="I1">
        <v>4.33</v>
      </c>
    </row>
    <row r="2" spans="1:9" ht="89.25" x14ac:dyDescent="0.25">
      <c r="A2" s="3" t="s">
        <v>20</v>
      </c>
      <c r="B2" s="3" t="s">
        <v>21</v>
      </c>
      <c r="C2" s="3" t="s">
        <v>22</v>
      </c>
      <c r="D2" s="4" t="s">
        <v>23</v>
      </c>
      <c r="E2" s="4" t="s">
        <v>24</v>
      </c>
      <c r="F2" s="4" t="s">
        <v>25</v>
      </c>
      <c r="H2" t="s">
        <v>5</v>
      </c>
      <c r="I2">
        <v>4</v>
      </c>
    </row>
    <row r="3" spans="1:9" x14ac:dyDescent="0.25">
      <c r="A3" t="s">
        <v>1</v>
      </c>
      <c r="B3" t="s">
        <v>2</v>
      </c>
      <c r="C3">
        <v>3</v>
      </c>
      <c r="D3" t="s">
        <v>3</v>
      </c>
      <c r="E3" s="2">
        <f>VLOOKUP(D3,$H$1:$I$11,2,FALSE)</f>
        <v>4.33</v>
      </c>
      <c r="F3" s="2">
        <f>C3*E3</f>
        <v>12.99</v>
      </c>
      <c r="H3" t="s">
        <v>11</v>
      </c>
      <c r="I3">
        <v>3.75</v>
      </c>
    </row>
    <row r="4" spans="1:9" x14ac:dyDescent="0.25">
      <c r="A4" t="s">
        <v>4</v>
      </c>
      <c r="B4" t="s">
        <v>7</v>
      </c>
      <c r="C4">
        <v>3</v>
      </c>
      <c r="D4" t="s">
        <v>5</v>
      </c>
      <c r="E4" s="2">
        <f>VLOOKUP(D4,$H$1:$I$11,2,FALSE)</f>
        <v>4</v>
      </c>
      <c r="F4" s="2">
        <f t="shared" ref="F4:F6" si="0">C4*E4</f>
        <v>12</v>
      </c>
      <c r="H4" t="s">
        <v>12</v>
      </c>
      <c r="I4">
        <v>3.33</v>
      </c>
    </row>
    <row r="5" spans="1:9" x14ac:dyDescent="0.25">
      <c r="A5" t="s">
        <v>6</v>
      </c>
      <c r="B5" t="s">
        <v>9</v>
      </c>
      <c r="C5">
        <v>3</v>
      </c>
      <c r="D5" t="s">
        <v>5</v>
      </c>
      <c r="E5" s="2">
        <f>VLOOKUP(D5,$H$1:$I$11,2,FALSE)</f>
        <v>4</v>
      </c>
      <c r="F5" s="2">
        <f t="shared" si="0"/>
        <v>12</v>
      </c>
      <c r="H5" t="s">
        <v>13</v>
      </c>
      <c r="I5">
        <v>3</v>
      </c>
    </row>
    <row r="6" spans="1:9" x14ac:dyDescent="0.25">
      <c r="A6" t="s">
        <v>10</v>
      </c>
      <c r="B6" t="s">
        <v>8</v>
      </c>
      <c r="C6">
        <v>3</v>
      </c>
      <c r="D6" t="s">
        <v>5</v>
      </c>
      <c r="E6" s="2">
        <f>VLOOKUP(D6,$H$1:$I$11,2,FALSE)</f>
        <v>4</v>
      </c>
      <c r="F6" s="2">
        <f t="shared" si="0"/>
        <v>12</v>
      </c>
      <c r="H6" t="s">
        <v>14</v>
      </c>
      <c r="I6">
        <v>2.75</v>
      </c>
    </row>
    <row r="7" spans="1:9" x14ac:dyDescent="0.25">
      <c r="C7">
        <f>SUM(C3:C6)</f>
        <v>12</v>
      </c>
      <c r="E7" s="2">
        <f>SUM(E3:E6)</f>
        <v>16.329999999999998</v>
      </c>
      <c r="F7" s="2">
        <f>SUM(F3:F6)</f>
        <v>48.99</v>
      </c>
      <c r="H7" t="s">
        <v>15</v>
      </c>
      <c r="I7">
        <v>2.33</v>
      </c>
    </row>
    <row r="8" spans="1:9" x14ac:dyDescent="0.25">
      <c r="H8" t="s">
        <v>16</v>
      </c>
      <c r="I8">
        <v>2</v>
      </c>
    </row>
    <row r="9" spans="1:9" x14ac:dyDescent="0.25">
      <c r="H9" t="s">
        <v>17</v>
      </c>
      <c r="I9">
        <v>2.75</v>
      </c>
    </row>
    <row r="10" spans="1:9" x14ac:dyDescent="0.25">
      <c r="B10" s="6" t="s">
        <v>26</v>
      </c>
      <c r="C10" s="5">
        <f>F7/C7</f>
        <v>4.0825000000000005</v>
      </c>
      <c r="H10" t="s">
        <v>18</v>
      </c>
      <c r="I10">
        <v>1</v>
      </c>
    </row>
    <row r="11" spans="1:9" x14ac:dyDescent="0.25">
      <c r="H11" t="s">
        <v>19</v>
      </c>
      <c r="I1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Alella</dc:creator>
  <cp:lastModifiedBy>Alella</cp:lastModifiedBy>
  <dcterms:created xsi:type="dcterms:W3CDTF">2011-11-17T04:11:14Z</dcterms:created>
  <dcterms:modified xsi:type="dcterms:W3CDTF">2011-11-17T04:39:57Z</dcterms:modified>
</cp:coreProperties>
</file>